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atec\Downloads\"/>
    </mc:Choice>
  </mc:AlternateContent>
  <bookViews>
    <workbookView xWindow="0" yWindow="0" windowWidth="28800" windowHeight="12300"/>
  </bookViews>
  <sheets>
    <sheet name="Planilha1" sheetId="1" r:id="rId1"/>
    <sheet name="Planilha2" sheetId="2" r:id="rId2"/>
    <sheet name="Planilha3" sheetId="3" r:id="rId3"/>
    <sheet name="Planilha4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7" i="4" l="1"/>
  <c r="B16" i="4"/>
  <c r="B15" i="4"/>
  <c r="B14" i="4"/>
  <c r="B13" i="4"/>
  <c r="D4" i="4"/>
  <c r="D5" i="4"/>
  <c r="D6" i="4"/>
  <c r="D7" i="4"/>
  <c r="D8" i="4"/>
  <c r="D9" i="4"/>
  <c r="D10" i="4"/>
  <c r="D3" i="4"/>
  <c r="K8" i="1"/>
  <c r="K7" i="1"/>
  <c r="E9" i="1"/>
  <c r="E24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24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25" i="1"/>
  <c r="E24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5" i="3" l="1"/>
  <c r="E25" i="2"/>
</calcChain>
</file>

<file path=xl/sharedStrings.xml><?xml version="1.0" encoding="utf-8"?>
<sst xmlns="http://schemas.openxmlformats.org/spreadsheetml/2006/main" count="100" uniqueCount="46">
  <si>
    <t>Vieira e Cruz - Rpresentações Comerciais Ltda</t>
  </si>
  <si>
    <t xml:space="preserve">                      Vendas Referentes ao Período </t>
  </si>
  <si>
    <t>Abril</t>
  </si>
  <si>
    <t>Vendedor</t>
  </si>
  <si>
    <t>Juliana</t>
  </si>
  <si>
    <t>Comissão</t>
  </si>
  <si>
    <t>Dia</t>
  </si>
  <si>
    <t>Número</t>
  </si>
  <si>
    <t>Cliente</t>
  </si>
  <si>
    <t>Valor</t>
  </si>
  <si>
    <t>Total das vendas</t>
  </si>
  <si>
    <t>Total de Comissão a pagar</t>
  </si>
  <si>
    <t>Batista</t>
  </si>
  <si>
    <t>Hélio</t>
  </si>
  <si>
    <t>Eriovaldo</t>
  </si>
  <si>
    <t>Samir</t>
  </si>
  <si>
    <t>Saulo</t>
  </si>
  <si>
    <t>Santão</t>
  </si>
  <si>
    <t>Susimar</t>
  </si>
  <si>
    <t>Susimara</t>
  </si>
  <si>
    <t>Eliane</t>
  </si>
  <si>
    <t>Eliel</t>
  </si>
  <si>
    <t>Amanda</t>
  </si>
  <si>
    <t>Osmar</t>
  </si>
  <si>
    <t>Mara</t>
  </si>
  <si>
    <t>Marilda</t>
  </si>
  <si>
    <t>Total de vendas</t>
  </si>
  <si>
    <t>Total de comissão</t>
  </si>
  <si>
    <t>Hederaldo</t>
  </si>
  <si>
    <t>José</t>
  </si>
  <si>
    <t>Produto</t>
  </si>
  <si>
    <t>Quantidade</t>
  </si>
  <si>
    <t>Preço unitario</t>
  </si>
  <si>
    <t>Total da venda</t>
  </si>
  <si>
    <t>Arroz</t>
  </si>
  <si>
    <t>Feijão</t>
  </si>
  <si>
    <t>Macarrão</t>
  </si>
  <si>
    <t>Café</t>
  </si>
  <si>
    <t>Açúcar</t>
  </si>
  <si>
    <t>Leite</t>
  </si>
  <si>
    <t>Oleo</t>
  </si>
  <si>
    <t>Farinha</t>
  </si>
  <si>
    <t>maior valor venda</t>
  </si>
  <si>
    <t>menor valor venda</t>
  </si>
  <si>
    <t>quantidade de produtos</t>
  </si>
  <si>
    <t>preço medio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</si>
</sst>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-&quot;R$&quot;\ * #,##0.00_-;\-&quot;R$&quot;\ * #,##0.00_-;_-&quot;R$&quot;\ * &quot;-&quot;??_-;_-@_-"/>
    <numFmt numFmtId="164" formatCode="0.0%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4">
    <xf numFmtId="0" fontId="0" fillId="0" borderId="0" xfId="0"/>
    <xf numFmtId="0" fontId="0" fillId="0" borderId="0" xfId="0" applyBorder="1"/>
    <xf numFmtId="0" fontId="0" fillId="0" borderId="1" xfId="0" applyBorder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44" fontId="0" fillId="0" borderId="1" xfId="1" applyFont="1" applyBorder="1"/>
    <xf numFmtId="44" fontId="0" fillId="0" borderId="1" xfId="0" applyNumberFormat="1" applyBorder="1"/>
    <xf numFmtId="164" fontId="0" fillId="0" borderId="1" xfId="2" applyNumberFormat="1" applyFont="1" applyBorder="1"/>
    <xf numFmtId="0" fontId="0" fillId="0" borderId="5" xfId="0" applyBorder="1"/>
    <xf numFmtId="0" fontId="0" fillId="0" borderId="6" xfId="0" applyBorder="1"/>
    <xf numFmtId="44" fontId="0" fillId="0" borderId="6" xfId="0" applyNumberFormat="1" applyBorder="1"/>
    <xf numFmtId="0" fontId="0" fillId="0" borderId="1" xfId="1" applyNumberFormat="1" applyFont="1" applyBorder="1"/>
    <xf numFmtId="0" fontId="2" fillId="0" borderId="2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Font="1" applyBorder="1" applyAlignment="1">
      <alignment horizontal="center" wrapText="1"/>
    </xf>
    <xf numFmtId="0" fontId="0" fillId="0" borderId="3" xfId="0" applyFont="1" applyBorder="1" applyAlignment="1">
      <alignment horizontal="center" wrapText="1"/>
    </xf>
    <xf numFmtId="0" fontId="0" fillId="0" borderId="4" xfId="0" applyFont="1" applyBorder="1" applyAlignment="1">
      <alignment horizontal="center" wrapText="1"/>
    </xf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604512248468941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5401202974628173"/>
          <c:y val="0.17171296296296298"/>
          <c:w val="0.81543241469816274"/>
          <c:h val="0.7208876494604841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Planilha4!$A$3:$A$10</c:f>
              <c:strCache>
                <c:ptCount val="8"/>
                <c:pt idx="0">
                  <c:v>Arroz</c:v>
                </c:pt>
                <c:pt idx="1">
                  <c:v>Feijão</c:v>
                </c:pt>
                <c:pt idx="2">
                  <c:v>Macarrão</c:v>
                </c:pt>
                <c:pt idx="3">
                  <c:v>Café</c:v>
                </c:pt>
                <c:pt idx="4">
                  <c:v>Açúcar</c:v>
                </c:pt>
                <c:pt idx="5">
                  <c:v>Leite</c:v>
                </c:pt>
                <c:pt idx="6">
                  <c:v>Oleo</c:v>
                </c:pt>
                <c:pt idx="7">
                  <c:v>Farinha</c:v>
                </c:pt>
              </c:strCache>
            </c:strRef>
          </c:cat>
          <c:val>
            <c:numRef>
              <c:f>Planilha4!$D$3:$D$10</c:f>
              <c:numCache>
                <c:formatCode>_("R$"* #,##0.00_);_("R$"* \(#,##0.00\);_("R$"* "-"??_);_(@_)</c:formatCode>
                <c:ptCount val="8"/>
                <c:pt idx="0">
                  <c:v>125</c:v>
                </c:pt>
                <c:pt idx="1">
                  <c:v>68</c:v>
                </c:pt>
                <c:pt idx="2">
                  <c:v>50</c:v>
                </c:pt>
                <c:pt idx="3">
                  <c:v>108</c:v>
                </c:pt>
                <c:pt idx="4">
                  <c:v>31.5</c:v>
                </c:pt>
                <c:pt idx="5">
                  <c:v>72</c:v>
                </c:pt>
                <c:pt idx="6">
                  <c:v>67.5</c:v>
                </c:pt>
                <c:pt idx="7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BE-4DA7-8687-907F21961C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74005583"/>
        <c:axId val="1574009327"/>
      </c:barChart>
      <c:catAx>
        <c:axId val="1574005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74009327"/>
        <c:crosses val="autoZero"/>
        <c:auto val="1"/>
        <c:lblAlgn val="ctr"/>
        <c:lblOffset val="100"/>
        <c:noMultiLvlLbl val="0"/>
      </c:catAx>
      <c:valAx>
        <c:axId val="1574009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740055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304800</xdr:colOff>
      <xdr:row>12</xdr:row>
      <xdr:rowOff>114300</xdr:rowOff>
    </xdr:from>
    <xdr:to>
      <xdr:col>14</xdr:col>
      <xdr:colOff>0</xdr:colOff>
      <xdr:row>27</xdr:row>
      <xdr:rowOff>0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tabSelected="1" workbookViewId="0">
      <selection activeCell="E25" sqref="E25"/>
    </sheetView>
  </sheetViews>
  <sheetFormatPr defaultRowHeight="15" x14ac:dyDescent="0.25"/>
  <cols>
    <col min="1" max="1" width="12.28515625" customWidth="1"/>
    <col min="2" max="2" width="15.28515625" customWidth="1"/>
    <col min="3" max="3" width="18.85546875" customWidth="1"/>
    <col min="4" max="4" width="14.140625" customWidth="1"/>
    <col min="5" max="5" width="18.42578125" customWidth="1"/>
    <col min="11" max="11" width="15.7109375" customWidth="1"/>
  </cols>
  <sheetData>
    <row r="1" spans="1:11" x14ac:dyDescent="0.25">
      <c r="A1" s="19" t="s">
        <v>0</v>
      </c>
      <c r="B1" s="20"/>
      <c r="C1" s="20"/>
      <c r="D1" s="20"/>
      <c r="E1" s="20"/>
    </row>
    <row r="2" spans="1:11" x14ac:dyDescent="0.25">
      <c r="A2" s="20"/>
      <c r="B2" s="20"/>
      <c r="C2" s="20"/>
      <c r="D2" s="20"/>
      <c r="E2" s="20"/>
    </row>
    <row r="3" spans="1:11" x14ac:dyDescent="0.25">
      <c r="A3" s="14"/>
      <c r="B3" s="15"/>
      <c r="C3" s="15"/>
      <c r="D3" s="15"/>
      <c r="E3" s="13"/>
    </row>
    <row r="4" spans="1:11" ht="15" customHeight="1" x14ac:dyDescent="0.25">
      <c r="A4" s="21" t="s">
        <v>1</v>
      </c>
      <c r="B4" s="22"/>
      <c r="C4" s="23"/>
      <c r="D4" s="12" t="s">
        <v>2</v>
      </c>
      <c r="E4" s="17"/>
    </row>
    <row r="5" spans="1:11" x14ac:dyDescent="0.25">
      <c r="A5" s="12"/>
      <c r="B5" s="16"/>
      <c r="C5" s="16"/>
      <c r="D5" s="16"/>
      <c r="E5" s="17"/>
    </row>
    <row r="6" spans="1:11" x14ac:dyDescent="0.25">
      <c r="A6" s="3" t="s">
        <v>3</v>
      </c>
      <c r="B6" s="12" t="s">
        <v>4</v>
      </c>
      <c r="C6" s="13"/>
      <c r="D6" s="3" t="s">
        <v>5</v>
      </c>
      <c r="E6" s="7">
        <v>8.5000000000000006E-2</v>
      </c>
    </row>
    <row r="7" spans="1:11" x14ac:dyDescent="0.25">
      <c r="A7" s="14"/>
      <c r="B7" s="15"/>
      <c r="C7" s="15"/>
      <c r="D7" s="15"/>
      <c r="E7" s="13"/>
      <c r="H7" s="18" t="s">
        <v>26</v>
      </c>
      <c r="I7" s="18"/>
      <c r="J7" s="18"/>
      <c r="K7" s="6">
        <f>Planilha1!E24+Planilha2!E24+Planilha3!E24</f>
        <v>25934.850000000002</v>
      </c>
    </row>
    <row r="8" spans="1:11" x14ac:dyDescent="0.25">
      <c r="A8" s="3" t="s">
        <v>6</v>
      </c>
      <c r="B8" s="3" t="s">
        <v>7</v>
      </c>
      <c r="C8" s="3" t="s">
        <v>8</v>
      </c>
      <c r="D8" s="4" t="s">
        <v>9</v>
      </c>
      <c r="E8" s="4" t="s">
        <v>5</v>
      </c>
      <c r="H8" s="12" t="s">
        <v>27</v>
      </c>
      <c r="I8" s="15"/>
      <c r="J8" s="13"/>
      <c r="K8" s="6">
        <f>Planilha1!E25+Planilha2!E25+Planilha3!E25</f>
        <v>2247.6869999999999</v>
      </c>
    </row>
    <row r="9" spans="1:11" x14ac:dyDescent="0.25">
      <c r="A9" s="2">
        <v>2</v>
      </c>
      <c r="B9" s="2">
        <v>772</v>
      </c>
      <c r="C9" s="2" t="s">
        <v>12</v>
      </c>
      <c r="D9" s="5">
        <v>895</v>
      </c>
      <c r="E9" s="6">
        <f>D9*$E$6</f>
        <v>76.075000000000003</v>
      </c>
    </row>
    <row r="10" spans="1:11" x14ac:dyDescent="0.25">
      <c r="A10" s="2">
        <v>3</v>
      </c>
      <c r="B10" s="2">
        <v>12</v>
      </c>
      <c r="C10" s="2" t="s">
        <v>13</v>
      </c>
      <c r="D10" s="5">
        <v>712</v>
      </c>
      <c r="E10" s="5">
        <f t="shared" ref="E10:E22" si="0">D10*$E$6</f>
        <v>60.52</v>
      </c>
    </row>
    <row r="11" spans="1:11" x14ac:dyDescent="0.25">
      <c r="A11" s="2">
        <v>4</v>
      </c>
      <c r="B11" s="2">
        <v>449</v>
      </c>
      <c r="C11" s="2" t="s">
        <v>14</v>
      </c>
      <c r="D11" s="5">
        <v>563</v>
      </c>
      <c r="E11" s="5">
        <f t="shared" si="0"/>
        <v>47.855000000000004</v>
      </c>
    </row>
    <row r="12" spans="1:11" x14ac:dyDescent="0.25">
      <c r="A12" s="2">
        <v>5</v>
      </c>
      <c r="B12" s="2">
        <v>233</v>
      </c>
      <c r="C12" s="2" t="s">
        <v>15</v>
      </c>
      <c r="D12" s="5">
        <v>56</v>
      </c>
      <c r="E12" s="5">
        <f t="shared" si="0"/>
        <v>4.7600000000000007</v>
      </c>
    </row>
    <row r="13" spans="1:11" x14ac:dyDescent="0.25">
      <c r="A13" s="2">
        <v>6</v>
      </c>
      <c r="B13" s="2">
        <v>55</v>
      </c>
      <c r="C13" s="2" t="s">
        <v>16</v>
      </c>
      <c r="D13" s="5">
        <v>78</v>
      </c>
      <c r="E13" s="5">
        <f t="shared" si="0"/>
        <v>6.6300000000000008</v>
      </c>
    </row>
    <row r="14" spans="1:11" x14ac:dyDescent="0.25">
      <c r="A14" s="2">
        <v>7</v>
      </c>
      <c r="B14" s="2">
        <v>98</v>
      </c>
      <c r="C14" s="2" t="s">
        <v>17</v>
      </c>
      <c r="D14" s="5">
        <v>12.5</v>
      </c>
      <c r="E14" s="5">
        <f t="shared" si="0"/>
        <v>1.0625</v>
      </c>
    </row>
    <row r="15" spans="1:11" x14ac:dyDescent="0.25">
      <c r="A15" s="2">
        <v>8</v>
      </c>
      <c r="B15" s="2">
        <v>96</v>
      </c>
      <c r="C15" s="2" t="s">
        <v>18</v>
      </c>
      <c r="D15" s="5">
        <v>852</v>
      </c>
      <c r="E15" s="5">
        <f t="shared" si="0"/>
        <v>72.42</v>
      </c>
    </row>
    <row r="16" spans="1:11" x14ac:dyDescent="0.25">
      <c r="A16" s="2">
        <v>11</v>
      </c>
      <c r="B16" s="2">
        <v>93</v>
      </c>
      <c r="C16" s="2" t="s">
        <v>19</v>
      </c>
      <c r="D16" s="5">
        <v>980</v>
      </c>
      <c r="E16" s="5">
        <f t="shared" si="0"/>
        <v>83.300000000000011</v>
      </c>
    </row>
    <row r="17" spans="1:5" x14ac:dyDescent="0.25">
      <c r="A17" s="2">
        <v>12</v>
      </c>
      <c r="B17" s="2">
        <v>74</v>
      </c>
      <c r="C17" s="2" t="s">
        <v>20</v>
      </c>
      <c r="D17" s="5">
        <v>589</v>
      </c>
      <c r="E17" s="5">
        <f t="shared" si="0"/>
        <v>50.065000000000005</v>
      </c>
    </row>
    <row r="18" spans="1:5" x14ac:dyDescent="0.25">
      <c r="A18" s="2">
        <v>13</v>
      </c>
      <c r="B18" s="2">
        <v>72</v>
      </c>
      <c r="C18" s="2" t="s">
        <v>21</v>
      </c>
      <c r="D18" s="5">
        <v>637</v>
      </c>
      <c r="E18" s="5">
        <f t="shared" si="0"/>
        <v>54.145000000000003</v>
      </c>
    </row>
    <row r="19" spans="1:5" x14ac:dyDescent="0.25">
      <c r="A19" s="2">
        <v>14</v>
      </c>
      <c r="B19" s="2">
        <v>52</v>
      </c>
      <c r="C19" s="2" t="s">
        <v>22</v>
      </c>
      <c r="D19" s="5">
        <v>999</v>
      </c>
      <c r="E19" s="5">
        <f t="shared" si="0"/>
        <v>84.915000000000006</v>
      </c>
    </row>
    <row r="20" spans="1:5" x14ac:dyDescent="0.25">
      <c r="A20" s="2">
        <v>15</v>
      </c>
      <c r="B20" s="2">
        <v>63</v>
      </c>
      <c r="C20" s="2" t="s">
        <v>23</v>
      </c>
      <c r="D20" s="5">
        <v>665.25</v>
      </c>
      <c r="E20" s="5">
        <f t="shared" si="0"/>
        <v>56.546250000000001</v>
      </c>
    </row>
    <row r="21" spans="1:5" x14ac:dyDescent="0.25">
      <c r="A21" s="2">
        <v>16</v>
      </c>
      <c r="B21" s="2">
        <v>85</v>
      </c>
      <c r="C21" s="2" t="s">
        <v>24</v>
      </c>
      <c r="D21" s="5">
        <v>765.2</v>
      </c>
      <c r="E21" s="5">
        <f t="shared" si="0"/>
        <v>65.042000000000002</v>
      </c>
    </row>
    <row r="22" spans="1:5" x14ac:dyDescent="0.25">
      <c r="A22" s="2">
        <v>16</v>
      </c>
      <c r="B22" s="2">
        <v>58</v>
      </c>
      <c r="C22" s="2" t="s">
        <v>25</v>
      </c>
      <c r="D22" s="5">
        <v>841</v>
      </c>
      <c r="E22" s="5">
        <f t="shared" si="0"/>
        <v>71.484999999999999</v>
      </c>
    </row>
    <row r="23" spans="1:5" x14ac:dyDescent="0.25">
      <c r="A23" s="14"/>
      <c r="B23" s="15"/>
      <c r="C23" s="15"/>
      <c r="D23" s="15"/>
      <c r="E23" s="13"/>
    </row>
    <row r="24" spans="1:5" x14ac:dyDescent="0.25">
      <c r="A24" s="12" t="s">
        <v>10</v>
      </c>
      <c r="B24" s="16"/>
      <c r="C24" s="17"/>
      <c r="D24" s="2"/>
      <c r="E24" s="6">
        <f>SUM(D9:D22)</f>
        <v>8644.9500000000007</v>
      </c>
    </row>
    <row r="25" spans="1:5" x14ac:dyDescent="0.25">
      <c r="A25" s="12" t="s">
        <v>11</v>
      </c>
      <c r="B25" s="15"/>
      <c r="C25" s="13"/>
      <c r="D25" s="2"/>
      <c r="E25" s="6">
        <f>SUM(E9:E22)</f>
        <v>734.82074999999998</v>
      </c>
    </row>
  </sheetData>
  <mergeCells count="12">
    <mergeCell ref="H7:J7"/>
    <mergeCell ref="H8:J8"/>
    <mergeCell ref="A1:E2"/>
    <mergeCell ref="A4:C4"/>
    <mergeCell ref="D4:E4"/>
    <mergeCell ref="A5:E5"/>
    <mergeCell ref="A3:E3"/>
    <mergeCell ref="B6:C6"/>
    <mergeCell ref="A7:E7"/>
    <mergeCell ref="A23:E23"/>
    <mergeCell ref="A24:C24"/>
    <mergeCell ref="A25:C25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workbookViewId="0">
      <selection activeCell="B6" sqref="B6:C6"/>
    </sheetView>
  </sheetViews>
  <sheetFormatPr defaultRowHeight="15" x14ac:dyDescent="0.25"/>
  <cols>
    <col min="3" max="3" width="23.28515625" customWidth="1"/>
    <col min="4" max="4" width="14.28515625" customWidth="1"/>
    <col min="5" max="5" width="22.140625" customWidth="1"/>
  </cols>
  <sheetData>
    <row r="1" spans="1:5" x14ac:dyDescent="0.25">
      <c r="A1" s="19" t="s">
        <v>0</v>
      </c>
      <c r="B1" s="20"/>
      <c r="C1" s="20"/>
      <c r="D1" s="20"/>
      <c r="E1" s="20"/>
    </row>
    <row r="2" spans="1:5" x14ac:dyDescent="0.25">
      <c r="A2" s="20"/>
      <c r="B2" s="20"/>
      <c r="C2" s="20"/>
      <c r="D2" s="20"/>
      <c r="E2" s="20"/>
    </row>
    <row r="3" spans="1:5" x14ac:dyDescent="0.25">
      <c r="A3" s="14"/>
      <c r="B3" s="15"/>
      <c r="C3" s="15"/>
      <c r="D3" s="15"/>
      <c r="E3" s="13"/>
    </row>
    <row r="4" spans="1:5" x14ac:dyDescent="0.25">
      <c r="A4" s="21" t="s">
        <v>1</v>
      </c>
      <c r="B4" s="22"/>
      <c r="C4" s="23"/>
      <c r="D4" s="12" t="s">
        <v>2</v>
      </c>
      <c r="E4" s="17"/>
    </row>
    <row r="5" spans="1:5" x14ac:dyDescent="0.25">
      <c r="A5" s="12"/>
      <c r="B5" s="16"/>
      <c r="C5" s="16"/>
      <c r="D5" s="16"/>
      <c r="E5" s="17"/>
    </row>
    <row r="6" spans="1:5" x14ac:dyDescent="0.25">
      <c r="A6" s="3" t="s">
        <v>3</v>
      </c>
      <c r="B6" s="12" t="s">
        <v>28</v>
      </c>
      <c r="C6" s="13"/>
      <c r="D6" s="3" t="s">
        <v>5</v>
      </c>
      <c r="E6" s="7">
        <v>7.4999999999999997E-2</v>
      </c>
    </row>
    <row r="7" spans="1:5" x14ac:dyDescent="0.25">
      <c r="A7" s="14"/>
      <c r="B7" s="15"/>
      <c r="C7" s="15"/>
      <c r="D7" s="15"/>
      <c r="E7" s="13"/>
    </row>
    <row r="8" spans="1:5" x14ac:dyDescent="0.25">
      <c r="A8" s="3" t="s">
        <v>6</v>
      </c>
      <c r="B8" s="3" t="s">
        <v>7</v>
      </c>
      <c r="C8" s="3" t="s">
        <v>8</v>
      </c>
      <c r="D8" s="4" t="s">
        <v>9</v>
      </c>
      <c r="E8" s="4" t="s">
        <v>5</v>
      </c>
    </row>
    <row r="9" spans="1:5" x14ac:dyDescent="0.25">
      <c r="A9" s="2">
        <v>2</v>
      </c>
      <c r="B9" s="2">
        <v>772</v>
      </c>
      <c r="C9" s="2" t="s">
        <v>12</v>
      </c>
      <c r="D9" s="5">
        <v>895</v>
      </c>
      <c r="E9" s="6">
        <f>D9*$E$6</f>
        <v>67.125</v>
      </c>
    </row>
    <row r="10" spans="1:5" x14ac:dyDescent="0.25">
      <c r="A10" s="2">
        <v>3</v>
      </c>
      <c r="B10" s="2">
        <v>12</v>
      </c>
      <c r="C10" s="2" t="s">
        <v>13</v>
      </c>
      <c r="D10" s="5">
        <v>712</v>
      </c>
      <c r="E10" s="5">
        <f t="shared" ref="E10:E22" si="0">D10*$E$6</f>
        <v>53.4</v>
      </c>
    </row>
    <row r="11" spans="1:5" x14ac:dyDescent="0.25">
      <c r="A11" s="2">
        <v>4</v>
      </c>
      <c r="B11" s="2">
        <v>449</v>
      </c>
      <c r="C11" s="2" t="s">
        <v>14</v>
      </c>
      <c r="D11" s="5">
        <v>563</v>
      </c>
      <c r="E11" s="5">
        <f t="shared" si="0"/>
        <v>42.225000000000001</v>
      </c>
    </row>
    <row r="12" spans="1:5" x14ac:dyDescent="0.25">
      <c r="A12" s="2">
        <v>5</v>
      </c>
      <c r="B12" s="2">
        <v>233</v>
      </c>
      <c r="C12" s="2" t="s">
        <v>15</v>
      </c>
      <c r="D12" s="5">
        <v>56</v>
      </c>
      <c r="E12" s="5">
        <f t="shared" si="0"/>
        <v>4.2</v>
      </c>
    </row>
    <row r="13" spans="1:5" x14ac:dyDescent="0.25">
      <c r="A13" s="2">
        <v>6</v>
      </c>
      <c r="B13" s="2">
        <v>55</v>
      </c>
      <c r="C13" s="2" t="s">
        <v>16</v>
      </c>
      <c r="D13" s="5">
        <v>78</v>
      </c>
      <c r="E13" s="5">
        <f t="shared" si="0"/>
        <v>5.85</v>
      </c>
    </row>
    <row r="14" spans="1:5" x14ac:dyDescent="0.25">
      <c r="A14" s="2">
        <v>7</v>
      </c>
      <c r="B14" s="2">
        <v>98</v>
      </c>
      <c r="C14" s="2" t="s">
        <v>17</v>
      </c>
      <c r="D14" s="5">
        <v>12.5</v>
      </c>
      <c r="E14" s="5">
        <f t="shared" si="0"/>
        <v>0.9375</v>
      </c>
    </row>
    <row r="15" spans="1:5" x14ac:dyDescent="0.25">
      <c r="A15" s="2">
        <v>8</v>
      </c>
      <c r="B15" s="2">
        <v>96</v>
      </c>
      <c r="C15" s="2" t="s">
        <v>18</v>
      </c>
      <c r="D15" s="5">
        <v>852</v>
      </c>
      <c r="E15" s="5">
        <f t="shared" si="0"/>
        <v>63.9</v>
      </c>
    </row>
    <row r="16" spans="1:5" x14ac:dyDescent="0.25">
      <c r="A16" s="2">
        <v>11</v>
      </c>
      <c r="B16" s="2">
        <v>93</v>
      </c>
      <c r="C16" s="2" t="s">
        <v>19</v>
      </c>
      <c r="D16" s="5">
        <v>980</v>
      </c>
      <c r="E16" s="5">
        <f t="shared" si="0"/>
        <v>73.5</v>
      </c>
    </row>
    <row r="17" spans="1:5" x14ac:dyDescent="0.25">
      <c r="A17" s="2">
        <v>12</v>
      </c>
      <c r="B17" s="2">
        <v>74</v>
      </c>
      <c r="C17" s="2" t="s">
        <v>20</v>
      </c>
      <c r="D17" s="5">
        <v>589</v>
      </c>
      <c r="E17" s="5">
        <f t="shared" si="0"/>
        <v>44.174999999999997</v>
      </c>
    </row>
    <row r="18" spans="1:5" x14ac:dyDescent="0.25">
      <c r="A18" s="2">
        <v>13</v>
      </c>
      <c r="B18" s="2">
        <v>72</v>
      </c>
      <c r="C18" s="2" t="s">
        <v>21</v>
      </c>
      <c r="D18" s="5">
        <v>637</v>
      </c>
      <c r="E18" s="5">
        <f t="shared" si="0"/>
        <v>47.774999999999999</v>
      </c>
    </row>
    <row r="19" spans="1:5" x14ac:dyDescent="0.25">
      <c r="A19" s="2">
        <v>14</v>
      </c>
      <c r="B19" s="2">
        <v>52</v>
      </c>
      <c r="C19" s="2" t="s">
        <v>22</v>
      </c>
      <c r="D19" s="5">
        <v>999</v>
      </c>
      <c r="E19" s="5">
        <f t="shared" si="0"/>
        <v>74.924999999999997</v>
      </c>
    </row>
    <row r="20" spans="1:5" x14ac:dyDescent="0.25">
      <c r="A20" s="2">
        <v>15</v>
      </c>
      <c r="B20" s="2">
        <v>63</v>
      </c>
      <c r="C20" s="2" t="s">
        <v>23</v>
      </c>
      <c r="D20" s="5">
        <v>665.25</v>
      </c>
      <c r="E20" s="5">
        <f t="shared" si="0"/>
        <v>49.893749999999997</v>
      </c>
    </row>
    <row r="21" spans="1:5" x14ac:dyDescent="0.25">
      <c r="A21" s="2">
        <v>16</v>
      </c>
      <c r="B21" s="2">
        <v>85</v>
      </c>
      <c r="C21" s="2" t="s">
        <v>24</v>
      </c>
      <c r="D21" s="5">
        <v>765.2</v>
      </c>
      <c r="E21" s="5">
        <f t="shared" si="0"/>
        <v>57.39</v>
      </c>
    </row>
    <row r="22" spans="1:5" x14ac:dyDescent="0.25">
      <c r="A22" s="2">
        <v>16</v>
      </c>
      <c r="B22" s="2">
        <v>58</v>
      </c>
      <c r="C22" s="2" t="s">
        <v>25</v>
      </c>
      <c r="D22" s="5">
        <v>841</v>
      </c>
      <c r="E22" s="5">
        <f t="shared" si="0"/>
        <v>63.074999999999996</v>
      </c>
    </row>
    <row r="23" spans="1:5" x14ac:dyDescent="0.25">
      <c r="A23" s="14"/>
      <c r="B23" s="15"/>
      <c r="C23" s="15"/>
      <c r="D23" s="15"/>
      <c r="E23" s="13"/>
    </row>
    <row r="24" spans="1:5" x14ac:dyDescent="0.25">
      <c r="A24" s="12" t="s">
        <v>10</v>
      </c>
      <c r="B24" s="16"/>
      <c r="C24" s="17"/>
      <c r="D24" s="2"/>
      <c r="E24" s="6">
        <f>SUM(D9:D22)</f>
        <v>8644.9500000000007</v>
      </c>
    </row>
    <row r="25" spans="1:5" x14ac:dyDescent="0.25">
      <c r="A25" s="12" t="s">
        <v>11</v>
      </c>
      <c r="B25" s="15"/>
      <c r="C25" s="13"/>
      <c r="D25" s="2"/>
      <c r="E25" s="6">
        <f>SUM(E9:E22)</f>
        <v>648.37125000000003</v>
      </c>
    </row>
  </sheetData>
  <mergeCells count="10">
    <mergeCell ref="A7:E7"/>
    <mergeCell ref="A23:E23"/>
    <mergeCell ref="A24:C24"/>
    <mergeCell ref="A25:C25"/>
    <mergeCell ref="A1:E2"/>
    <mergeCell ref="A3:E3"/>
    <mergeCell ref="A4:C4"/>
    <mergeCell ref="D4:E4"/>
    <mergeCell ref="A5:E5"/>
    <mergeCell ref="B6:C6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topLeftCell="A4" workbookViewId="0">
      <selection activeCell="B38" sqref="B38:B40"/>
    </sheetView>
  </sheetViews>
  <sheetFormatPr defaultRowHeight="15" x14ac:dyDescent="0.25"/>
  <cols>
    <col min="1" max="1" width="12.42578125" customWidth="1"/>
    <col min="4" max="4" width="16.28515625" customWidth="1"/>
    <col min="5" max="5" width="18.28515625" customWidth="1"/>
  </cols>
  <sheetData>
    <row r="1" spans="1:5" x14ac:dyDescent="0.25">
      <c r="A1" s="19" t="s">
        <v>0</v>
      </c>
      <c r="B1" s="20"/>
      <c r="C1" s="20"/>
      <c r="D1" s="20"/>
      <c r="E1" s="20"/>
    </row>
    <row r="2" spans="1:5" x14ac:dyDescent="0.25">
      <c r="A2" s="20"/>
      <c r="B2" s="20"/>
      <c r="C2" s="20"/>
      <c r="D2" s="20"/>
      <c r="E2" s="20"/>
    </row>
    <row r="3" spans="1:5" x14ac:dyDescent="0.25">
      <c r="A3" s="14"/>
      <c r="B3" s="15"/>
      <c r="C3" s="15"/>
      <c r="D3" s="15"/>
      <c r="E3" s="13"/>
    </row>
    <row r="4" spans="1:5" x14ac:dyDescent="0.25">
      <c r="A4" s="21" t="s">
        <v>1</v>
      </c>
      <c r="B4" s="22"/>
      <c r="C4" s="23"/>
      <c r="D4" s="12" t="s">
        <v>2</v>
      </c>
      <c r="E4" s="17"/>
    </row>
    <row r="5" spans="1:5" x14ac:dyDescent="0.25">
      <c r="A5" s="12"/>
      <c r="B5" s="16"/>
      <c r="C5" s="16"/>
      <c r="D5" s="16"/>
      <c r="E5" s="17"/>
    </row>
    <row r="6" spans="1:5" x14ac:dyDescent="0.25">
      <c r="A6" s="3" t="s">
        <v>3</v>
      </c>
      <c r="B6" s="12" t="s">
        <v>29</v>
      </c>
      <c r="C6" s="13"/>
      <c r="D6" s="3" t="s">
        <v>5</v>
      </c>
      <c r="E6" s="7">
        <v>0.1</v>
      </c>
    </row>
    <row r="7" spans="1:5" x14ac:dyDescent="0.25">
      <c r="A7" s="14"/>
      <c r="B7" s="15"/>
      <c r="C7" s="15"/>
      <c r="D7" s="15"/>
      <c r="E7" s="13"/>
    </row>
    <row r="8" spans="1:5" x14ac:dyDescent="0.25">
      <c r="A8" s="3" t="s">
        <v>6</v>
      </c>
      <c r="B8" s="3" t="s">
        <v>7</v>
      </c>
      <c r="C8" s="3" t="s">
        <v>8</v>
      </c>
      <c r="D8" s="4" t="s">
        <v>9</v>
      </c>
      <c r="E8" s="4" t="s">
        <v>5</v>
      </c>
    </row>
    <row r="9" spans="1:5" x14ac:dyDescent="0.25">
      <c r="A9" s="2">
        <v>2</v>
      </c>
      <c r="B9" s="2">
        <v>772</v>
      </c>
      <c r="C9" s="2" t="s">
        <v>12</v>
      </c>
      <c r="D9" s="5">
        <v>895</v>
      </c>
      <c r="E9" s="6">
        <f>D9*$E$6</f>
        <v>89.5</v>
      </c>
    </row>
    <row r="10" spans="1:5" x14ac:dyDescent="0.25">
      <c r="A10" s="2">
        <v>3</v>
      </c>
      <c r="B10" s="2">
        <v>12</v>
      </c>
      <c r="C10" s="2" t="s">
        <v>13</v>
      </c>
      <c r="D10" s="5">
        <v>712</v>
      </c>
      <c r="E10" s="5">
        <f t="shared" ref="E10:E22" si="0">D10*$E$6</f>
        <v>71.2</v>
      </c>
    </row>
    <row r="11" spans="1:5" x14ac:dyDescent="0.25">
      <c r="A11" s="2">
        <v>4</v>
      </c>
      <c r="B11" s="2">
        <v>449</v>
      </c>
      <c r="C11" s="2" t="s">
        <v>14</v>
      </c>
      <c r="D11" s="5">
        <v>563</v>
      </c>
      <c r="E11" s="5">
        <f t="shared" si="0"/>
        <v>56.300000000000004</v>
      </c>
    </row>
    <row r="12" spans="1:5" x14ac:dyDescent="0.25">
      <c r="A12" s="2">
        <v>5</v>
      </c>
      <c r="B12" s="2">
        <v>233</v>
      </c>
      <c r="C12" s="2" t="s">
        <v>15</v>
      </c>
      <c r="D12" s="5">
        <v>56</v>
      </c>
      <c r="E12" s="5">
        <f t="shared" si="0"/>
        <v>5.6000000000000005</v>
      </c>
    </row>
    <row r="13" spans="1:5" x14ac:dyDescent="0.25">
      <c r="A13" s="2">
        <v>6</v>
      </c>
      <c r="B13" s="2">
        <v>55</v>
      </c>
      <c r="C13" s="2" t="s">
        <v>16</v>
      </c>
      <c r="D13" s="5">
        <v>78</v>
      </c>
      <c r="E13" s="5">
        <f t="shared" si="0"/>
        <v>7.8000000000000007</v>
      </c>
    </row>
    <row r="14" spans="1:5" x14ac:dyDescent="0.25">
      <c r="A14" s="2">
        <v>7</v>
      </c>
      <c r="B14" s="2">
        <v>98</v>
      </c>
      <c r="C14" s="2" t="s">
        <v>17</v>
      </c>
      <c r="D14" s="5">
        <v>12.5</v>
      </c>
      <c r="E14" s="5">
        <f t="shared" si="0"/>
        <v>1.25</v>
      </c>
    </row>
    <row r="15" spans="1:5" x14ac:dyDescent="0.25">
      <c r="A15" s="2">
        <v>8</v>
      </c>
      <c r="B15" s="2">
        <v>96</v>
      </c>
      <c r="C15" s="2" t="s">
        <v>18</v>
      </c>
      <c r="D15" s="5">
        <v>852</v>
      </c>
      <c r="E15" s="5">
        <f t="shared" si="0"/>
        <v>85.2</v>
      </c>
    </row>
    <row r="16" spans="1:5" x14ac:dyDescent="0.25">
      <c r="A16" s="2">
        <v>11</v>
      </c>
      <c r="B16" s="2">
        <v>93</v>
      </c>
      <c r="C16" s="2" t="s">
        <v>19</v>
      </c>
      <c r="D16" s="5">
        <v>980</v>
      </c>
      <c r="E16" s="5">
        <f t="shared" si="0"/>
        <v>98</v>
      </c>
    </row>
    <row r="17" spans="1:5" x14ac:dyDescent="0.25">
      <c r="A17" s="2">
        <v>12</v>
      </c>
      <c r="B17" s="2">
        <v>74</v>
      </c>
      <c r="C17" s="2" t="s">
        <v>20</v>
      </c>
      <c r="D17" s="5">
        <v>589</v>
      </c>
      <c r="E17" s="5">
        <f t="shared" si="0"/>
        <v>58.900000000000006</v>
      </c>
    </row>
    <row r="18" spans="1:5" x14ac:dyDescent="0.25">
      <c r="A18" s="2">
        <v>13</v>
      </c>
      <c r="B18" s="2">
        <v>72</v>
      </c>
      <c r="C18" s="2" t="s">
        <v>21</v>
      </c>
      <c r="D18" s="5">
        <v>637</v>
      </c>
      <c r="E18" s="5">
        <f t="shared" si="0"/>
        <v>63.7</v>
      </c>
    </row>
    <row r="19" spans="1:5" x14ac:dyDescent="0.25">
      <c r="A19" s="2">
        <v>14</v>
      </c>
      <c r="B19" s="2">
        <v>52</v>
      </c>
      <c r="C19" s="2" t="s">
        <v>22</v>
      </c>
      <c r="D19" s="5">
        <v>999</v>
      </c>
      <c r="E19" s="5">
        <f t="shared" si="0"/>
        <v>99.9</v>
      </c>
    </row>
    <row r="20" spans="1:5" x14ac:dyDescent="0.25">
      <c r="A20" s="2">
        <v>15</v>
      </c>
      <c r="B20" s="2">
        <v>63</v>
      </c>
      <c r="C20" s="2" t="s">
        <v>23</v>
      </c>
      <c r="D20" s="5">
        <v>665.25</v>
      </c>
      <c r="E20" s="5">
        <f t="shared" si="0"/>
        <v>66.525000000000006</v>
      </c>
    </row>
    <row r="21" spans="1:5" x14ac:dyDescent="0.25">
      <c r="A21" s="2">
        <v>16</v>
      </c>
      <c r="B21" s="2">
        <v>85</v>
      </c>
      <c r="C21" s="2" t="s">
        <v>24</v>
      </c>
      <c r="D21" s="5">
        <v>765.2</v>
      </c>
      <c r="E21" s="5">
        <f t="shared" si="0"/>
        <v>76.52000000000001</v>
      </c>
    </row>
    <row r="22" spans="1:5" x14ac:dyDescent="0.25">
      <c r="A22" s="2">
        <v>16</v>
      </c>
      <c r="B22" s="2">
        <v>58</v>
      </c>
      <c r="C22" s="2" t="s">
        <v>25</v>
      </c>
      <c r="D22" s="5">
        <v>841</v>
      </c>
      <c r="E22" s="5">
        <f t="shared" si="0"/>
        <v>84.100000000000009</v>
      </c>
    </row>
    <row r="23" spans="1:5" x14ac:dyDescent="0.25">
      <c r="A23" s="14"/>
      <c r="B23" s="15"/>
      <c r="C23" s="15"/>
      <c r="D23" s="15"/>
      <c r="E23" s="13"/>
    </row>
    <row r="24" spans="1:5" x14ac:dyDescent="0.25">
      <c r="A24" s="12" t="s">
        <v>10</v>
      </c>
      <c r="B24" s="16"/>
      <c r="C24" s="17"/>
      <c r="D24" s="2"/>
      <c r="E24" s="6">
        <f>SUM(D9:D22)</f>
        <v>8644.9500000000007</v>
      </c>
    </row>
    <row r="25" spans="1:5" x14ac:dyDescent="0.25">
      <c r="A25" s="12" t="s">
        <v>11</v>
      </c>
      <c r="B25" s="15"/>
      <c r="C25" s="13"/>
      <c r="D25" s="2"/>
      <c r="E25" s="6">
        <f>SUM(E9:E22)</f>
        <v>864.495</v>
      </c>
    </row>
  </sheetData>
  <mergeCells count="10">
    <mergeCell ref="A7:E7"/>
    <mergeCell ref="A23:E23"/>
    <mergeCell ref="A24:C24"/>
    <mergeCell ref="A25:C25"/>
    <mergeCell ref="A1:E2"/>
    <mergeCell ref="A3:E3"/>
    <mergeCell ref="A4:C4"/>
    <mergeCell ref="D4:E4"/>
    <mergeCell ref="A5:E5"/>
    <mergeCell ref="B6:C6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Views>
    <sheetView workbookViewId="0">
      <selection activeCell="B17" sqref="B17"/>
    </sheetView>
  </sheetViews>
  <sheetFormatPr defaultRowHeight="15" x14ac:dyDescent="0.25"/>
  <cols>
    <col min="1" max="1" width="22.7109375" bestFit="1" customWidth="1"/>
    <col min="2" max="2" width="21.140625" customWidth="1"/>
    <col min="3" max="3" width="17" customWidth="1"/>
    <col min="4" max="4" width="17.5703125" customWidth="1"/>
  </cols>
  <sheetData>
    <row r="1" spans="1:4" x14ac:dyDescent="0.25">
      <c r="A1" s="3" t="s">
        <v>30</v>
      </c>
      <c r="B1" s="3" t="s">
        <v>31</v>
      </c>
      <c r="C1" s="3" t="s">
        <v>32</v>
      </c>
      <c r="D1" s="3" t="s">
        <v>33</v>
      </c>
    </row>
    <row r="2" spans="1:4" x14ac:dyDescent="0.25">
      <c r="A2" s="20"/>
      <c r="B2" s="20"/>
      <c r="C2" s="20"/>
      <c r="D2" s="20"/>
    </row>
    <row r="3" spans="1:4" x14ac:dyDescent="0.25">
      <c r="A3" s="2" t="s">
        <v>34</v>
      </c>
      <c r="B3" s="2">
        <v>5</v>
      </c>
      <c r="C3" s="5">
        <v>25</v>
      </c>
      <c r="D3" s="6">
        <f>B3*C3</f>
        <v>125</v>
      </c>
    </row>
    <row r="4" spans="1:4" x14ac:dyDescent="0.25">
      <c r="A4" s="2" t="s">
        <v>35</v>
      </c>
      <c r="B4" s="2">
        <v>8</v>
      </c>
      <c r="C4" s="5">
        <v>8.5</v>
      </c>
      <c r="D4" s="6">
        <f t="shared" ref="D4:D10" si="0">B4*C4</f>
        <v>68</v>
      </c>
    </row>
    <row r="5" spans="1:4" x14ac:dyDescent="0.25">
      <c r="A5" s="2" t="s">
        <v>36</v>
      </c>
      <c r="B5" s="2">
        <v>10</v>
      </c>
      <c r="C5" s="5">
        <v>5</v>
      </c>
      <c r="D5" s="6">
        <f t="shared" si="0"/>
        <v>50</v>
      </c>
    </row>
    <row r="6" spans="1:4" x14ac:dyDescent="0.25">
      <c r="A6" s="2" t="s">
        <v>37</v>
      </c>
      <c r="B6" s="2">
        <v>6</v>
      </c>
      <c r="C6" s="5">
        <v>18</v>
      </c>
      <c r="D6" s="6">
        <f t="shared" si="0"/>
        <v>108</v>
      </c>
    </row>
    <row r="7" spans="1:4" x14ac:dyDescent="0.25">
      <c r="A7" s="2" t="s">
        <v>38</v>
      </c>
      <c r="B7" s="2">
        <v>7</v>
      </c>
      <c r="C7" s="5">
        <v>4.5</v>
      </c>
      <c r="D7" s="6">
        <f t="shared" si="0"/>
        <v>31.5</v>
      </c>
    </row>
    <row r="8" spans="1:4" x14ac:dyDescent="0.25">
      <c r="A8" s="2" t="s">
        <v>39</v>
      </c>
      <c r="B8" s="2">
        <v>12</v>
      </c>
      <c r="C8" s="5">
        <v>6</v>
      </c>
      <c r="D8" s="6">
        <f t="shared" si="0"/>
        <v>72</v>
      </c>
    </row>
    <row r="9" spans="1:4" x14ac:dyDescent="0.25">
      <c r="A9" s="2" t="s">
        <v>40</v>
      </c>
      <c r="B9" s="2">
        <v>9</v>
      </c>
      <c r="C9" s="5">
        <v>7.5</v>
      </c>
      <c r="D9" s="6">
        <f t="shared" si="0"/>
        <v>67.5</v>
      </c>
    </row>
    <row r="10" spans="1:4" x14ac:dyDescent="0.25">
      <c r="A10" s="2" t="s">
        <v>41</v>
      </c>
      <c r="B10" s="2">
        <v>5</v>
      </c>
      <c r="C10" s="5">
        <v>6</v>
      </c>
      <c r="D10" s="6">
        <f t="shared" si="0"/>
        <v>30</v>
      </c>
    </row>
    <row r="11" spans="1:4" x14ac:dyDescent="0.25">
      <c r="A11" s="8"/>
      <c r="B11" s="8"/>
      <c r="C11" s="8"/>
      <c r="D11" s="8"/>
    </row>
    <row r="12" spans="1:4" x14ac:dyDescent="0.25">
      <c r="A12" s="1"/>
      <c r="B12" s="1"/>
      <c r="C12" s="1"/>
      <c r="D12" s="1"/>
    </row>
    <row r="13" spans="1:4" x14ac:dyDescent="0.25">
      <c r="A13" s="9" t="s">
        <v>10</v>
      </c>
      <c r="B13" s="10">
        <f>SUM(D3:D10)</f>
        <v>552</v>
      </c>
      <c r="C13" s="9"/>
      <c r="D13" s="9"/>
    </row>
    <row r="14" spans="1:4" x14ac:dyDescent="0.25">
      <c r="A14" s="2" t="s">
        <v>42</v>
      </c>
      <c r="B14" s="6">
        <f>MAX(D3:D10)</f>
        <v>125</v>
      </c>
      <c r="C14" s="2"/>
      <c r="D14" s="2"/>
    </row>
    <row r="15" spans="1:4" x14ac:dyDescent="0.25">
      <c r="A15" s="2" t="s">
        <v>43</v>
      </c>
      <c r="B15" s="6">
        <f>MIN(D3:D10)</f>
        <v>30</v>
      </c>
      <c r="C15" s="2"/>
      <c r="D15" s="2"/>
    </row>
    <row r="16" spans="1:4" x14ac:dyDescent="0.25">
      <c r="A16" s="2" t="s">
        <v>44</v>
      </c>
      <c r="B16" s="11">
        <f>SUM(B3:B10)</f>
        <v>62</v>
      </c>
      <c r="C16" s="2"/>
      <c r="D16" s="2"/>
    </row>
    <row r="17" spans="1:4" x14ac:dyDescent="0.25">
      <c r="A17" s="2" t="s">
        <v>45</v>
      </c>
      <c r="B17" s="5">
        <f>AVERAGE(C3:C10)</f>
        <v>10.0625</v>
      </c>
      <c r="C17" s="2"/>
      <c r="D17" s="2"/>
    </row>
    <row r="18" spans="1:4" x14ac:dyDescent="0.25">
      <c r="A18" s="2"/>
      <c r="B18" s="2"/>
      <c r="C18" s="2"/>
      <c r="D18" s="2"/>
    </row>
  </sheetData>
  <mergeCells count="1">
    <mergeCell ref="A2:D2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Planilha1</vt:lpstr>
      <vt:lpstr>Planilha2</vt:lpstr>
      <vt:lpstr>Planilha3</vt:lpstr>
      <vt:lpstr>Planilha4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Fatec</dc:creator>
  <cp:lastModifiedBy>Fatec</cp:lastModifiedBy>
  <dcterms:created xsi:type="dcterms:W3CDTF">2026-08-18T15:20:28Z</dcterms:created>
  <dcterms:modified xsi:type="dcterms:W3CDTF">2026-08-18T16:42:17Z</dcterms:modified>
</cp:coreProperties>
</file>