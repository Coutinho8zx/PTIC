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bookViews>
    <workbookView xWindow="0" yWindow="0" windowWidth="28800" windowHeight="123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20" i="1"/>
  <c r="I8" i="1"/>
  <c r="H9" i="1"/>
  <c r="H10" i="1"/>
  <c r="H11" i="1"/>
  <c r="H12" i="1"/>
  <c r="H13" i="1"/>
  <c r="H14" i="1"/>
  <c r="H15" i="1"/>
  <c r="H16" i="1"/>
  <c r="H17" i="1"/>
  <c r="H18" i="1"/>
  <c r="H19" i="1"/>
  <c r="H20" i="1"/>
  <c r="H8" i="1"/>
  <c r="G9" i="1"/>
  <c r="G10" i="1"/>
  <c r="G11" i="1"/>
  <c r="G12" i="1"/>
  <c r="G13" i="1"/>
  <c r="G14" i="1"/>
  <c r="G15" i="1"/>
  <c r="G16" i="1"/>
  <c r="G17" i="1"/>
  <c r="G18" i="1"/>
  <c r="G19" i="1"/>
  <c r="G20" i="1"/>
  <c r="G8" i="1"/>
  <c r="I22" i="1" l="1"/>
</calcChain>
</file>

<file path=xl/sharedStrings.xml><?xml version="1.0" encoding="utf-8"?>
<sst xmlns="http://schemas.openxmlformats.org/spreadsheetml/2006/main" count="39" uniqueCount="39">
  <si>
    <t>QUADRO COMPARATIVO DE PREÇOS (COTAÇÃO PARA COMPRA)</t>
  </si>
  <si>
    <t>Propostas válidas para o período de 01/11 a 30/11</t>
  </si>
  <si>
    <t>Fundamento legal: Decreto Estaduals n.°34.350,de11/12/1991</t>
  </si>
  <si>
    <t>ITEM</t>
  </si>
  <si>
    <t>QTE.</t>
  </si>
  <si>
    <t>DISCRIMINAÇÃO DO MATERIAL/SERVIÇO</t>
  </si>
  <si>
    <t>EISTEIN INFORMÁTICA</t>
  </si>
  <si>
    <t>LIGUE-INFO</t>
  </si>
  <si>
    <t>SHOPPING DA INFORMATICA</t>
  </si>
  <si>
    <t>PREÇO MÉDIO</t>
  </si>
  <si>
    <t>MENOR PREÇO</t>
  </si>
  <si>
    <t>TOTAL</t>
  </si>
  <si>
    <t>AB002</t>
  </si>
  <si>
    <t>CO23</t>
  </si>
  <si>
    <t>4X5F</t>
  </si>
  <si>
    <t>RTRV</t>
  </si>
  <si>
    <t>ED17</t>
  </si>
  <si>
    <t>GF25</t>
  </si>
  <si>
    <t>G45CV</t>
  </si>
  <si>
    <t>FH14</t>
  </si>
  <si>
    <t>GHT2</t>
  </si>
  <si>
    <t>GH198</t>
  </si>
  <si>
    <t>HJ25</t>
  </si>
  <si>
    <t>TG02</t>
  </si>
  <si>
    <t>RR52</t>
  </si>
  <si>
    <t>Hub 8 Portas</t>
  </si>
  <si>
    <t>Manutenção de impressora</t>
  </si>
  <si>
    <t>Manutenção de Computador</t>
  </si>
  <si>
    <t>Teclado sem fio</t>
  </si>
  <si>
    <t>Mouse sem fio</t>
  </si>
  <si>
    <t>Monitor LCD 17"</t>
  </si>
  <si>
    <t>Mousepad - cor azul</t>
  </si>
  <si>
    <t>Estabilizadores</t>
  </si>
  <si>
    <t xml:space="preserve">Projetor Multimídia </t>
  </si>
  <si>
    <t>Impressora laser - 1 cor</t>
  </si>
  <si>
    <t>Impresora Jato de tinta - colorida</t>
  </si>
  <si>
    <t>Suporte para projetor multimídia</t>
  </si>
  <si>
    <t>Roteador 4 portas - Ethernet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</si>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</sst>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44" fontId="0" fillId="0" borderId="1" xfId="1" applyFont="1" applyBorder="1"/>
    <xf numFmtId="44" fontId="0" fillId="0" borderId="1" xfId="1" applyFont="1" applyBorder="1" applyAlignment="1">
      <alignment horizontal="center"/>
    </xf>
    <xf numFmtId="164" fontId="0" fillId="0" borderId="1" xfId="0" applyNumberFormat="1" applyBorder="1"/>
    <xf numFmtId="44" fontId="0" fillId="0" borderId="1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Planilha1!$C$8:$C$20</c:f>
              <c:strCache>
                <c:ptCount val="13"/>
                <c:pt idx="0">
                  <c:v>Hub 8 Portas</c:v>
                </c:pt>
                <c:pt idx="1">
                  <c:v>Manutenção de impressora</c:v>
                </c:pt>
                <c:pt idx="2">
                  <c:v>Manutenção de Computador</c:v>
                </c:pt>
                <c:pt idx="3">
                  <c:v>Teclado sem fio</c:v>
                </c:pt>
                <c:pt idx="4">
                  <c:v>Mouse sem fio</c:v>
                </c:pt>
                <c:pt idx="5">
                  <c:v>Monitor LCD 17"</c:v>
                </c:pt>
                <c:pt idx="6">
                  <c:v>Mousepad - cor azul</c:v>
                </c:pt>
                <c:pt idx="7">
                  <c:v>Estabilizadores</c:v>
                </c:pt>
                <c:pt idx="8">
                  <c:v>Projetor Multimídia </c:v>
                </c:pt>
                <c:pt idx="9">
                  <c:v>Impressora laser - 1 cor</c:v>
                </c:pt>
                <c:pt idx="10">
                  <c:v>Impresora Jato de tinta - colorida</c:v>
                </c:pt>
                <c:pt idx="11">
                  <c:v>Suporte para projetor multimídia</c:v>
                </c:pt>
                <c:pt idx="12">
                  <c:v>Roteador 4 portas - Ethernet</c:v>
                </c:pt>
              </c:strCache>
            </c:strRef>
          </c:cat>
          <c:val>
            <c:numRef>
              <c:f>Planilha1!$I$8:$I$20</c:f>
              <c:numCache>
                <c:formatCode>_("R$"* #,##0.00_);_("R$"* \(#,##0.00\);_("R$"* "-"??_);_(@_)</c:formatCode>
                <c:ptCount val="13"/>
                <c:pt idx="0">
                  <c:v>70</c:v>
                </c:pt>
                <c:pt idx="1">
                  <c:v>200</c:v>
                </c:pt>
                <c:pt idx="2">
                  <c:v>54</c:v>
                </c:pt>
                <c:pt idx="3">
                  <c:v>459</c:v>
                </c:pt>
                <c:pt idx="4">
                  <c:v>2170</c:v>
                </c:pt>
                <c:pt idx="5">
                  <c:v>18625.5</c:v>
                </c:pt>
                <c:pt idx="6">
                  <c:v>100</c:v>
                </c:pt>
                <c:pt idx="7">
                  <c:v>712.5</c:v>
                </c:pt>
                <c:pt idx="8">
                  <c:v>9802.7999999999993</c:v>
                </c:pt>
                <c:pt idx="9">
                  <c:v>680.5</c:v>
                </c:pt>
                <c:pt idx="10">
                  <c:v>299.89999999999998</c:v>
                </c:pt>
                <c:pt idx="11">
                  <c:v>260.8</c:v>
                </c:pt>
                <c:pt idx="12">
                  <c:v>149.25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3-4754-AC8E-EDA1C786C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046609798775151"/>
          <c:y val="0.46006561679790026"/>
          <c:w val="0.72906780402449689"/>
          <c:h val="0.539934383202099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5</xdr:row>
      <xdr:rowOff>28575</xdr:rowOff>
    </xdr:from>
    <xdr:to>
      <xdr:col>16</xdr:col>
      <xdr:colOff>533400</xdr:colOff>
      <xdr:row>18</xdr:row>
      <xdr:rowOff>104775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I8" activeCellId="1" sqref="C8:C20 I8:I20"/>
    </sheetView>
  </sheetViews>
  <sheetFormatPr defaultRowHeight="15" x14ac:dyDescent="0.25"/>
  <cols>
    <col min="3" max="3" width="49.85546875" customWidth="1"/>
    <col min="4" max="4" width="15.42578125" customWidth="1"/>
    <col min="5" max="5" width="15.140625" customWidth="1"/>
    <col min="6" max="6" width="19.28515625" customWidth="1"/>
    <col min="7" max="7" width="15.42578125" customWidth="1"/>
    <col min="8" max="8" width="14" customWidth="1"/>
    <col min="9" max="9" width="20.28515625" customWidth="1"/>
  </cols>
  <sheetData>
    <row r="1" spans="1:9" ht="15.7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x14ac:dyDescent="0.25">
      <c r="A4" s="4" t="s">
        <v>2</v>
      </c>
      <c r="B4" s="4"/>
      <c r="C4" s="4"/>
      <c r="D4" s="4"/>
      <c r="E4" s="4"/>
      <c r="F4" s="4"/>
      <c r="G4" s="4"/>
      <c r="H4" s="4"/>
      <c r="I4" s="4"/>
    </row>
    <row r="5" spans="1:9" x14ac:dyDescent="0.25">
      <c r="A5" s="4"/>
      <c r="B5" s="4"/>
      <c r="C5" s="4"/>
      <c r="D5" s="4"/>
      <c r="E5" s="4"/>
      <c r="F5" s="4"/>
      <c r="G5" s="4"/>
      <c r="H5" s="4"/>
      <c r="I5" s="4"/>
    </row>
    <row r="6" spans="1:9" ht="30" customHeight="1" x14ac:dyDescent="0.25">
      <c r="A6" s="1" t="s">
        <v>3</v>
      </c>
      <c r="B6" s="7" t="s">
        <v>4</v>
      </c>
      <c r="C6" s="7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7" t="s">
        <v>11</v>
      </c>
    </row>
    <row r="7" spans="1:9" x14ac:dyDescent="0.25">
      <c r="B7" s="5"/>
      <c r="C7" s="5"/>
      <c r="D7" s="10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</row>
    <row r="8" spans="1:9" x14ac:dyDescent="0.25">
      <c r="A8" s="7" t="s">
        <v>12</v>
      </c>
      <c r="B8" s="6">
        <v>1</v>
      </c>
      <c r="C8" s="5" t="s">
        <v>25</v>
      </c>
      <c r="D8" s="9">
        <v>70</v>
      </c>
      <c r="E8" s="9">
        <v>80</v>
      </c>
      <c r="F8" s="9">
        <v>85</v>
      </c>
      <c r="G8" s="12">
        <f>AVERAGE(D8:F8)</f>
        <v>78.333333333333329</v>
      </c>
      <c r="H8" s="12">
        <f>MIN(D8:F8)</f>
        <v>70</v>
      </c>
      <c r="I8" s="12">
        <f>B8*H8</f>
        <v>70</v>
      </c>
    </row>
    <row r="9" spans="1:9" x14ac:dyDescent="0.25">
      <c r="A9" s="7" t="s">
        <v>13</v>
      </c>
      <c r="B9" s="6">
        <v>2</v>
      </c>
      <c r="C9" s="5" t="s">
        <v>26</v>
      </c>
      <c r="D9" s="9">
        <v>100</v>
      </c>
      <c r="E9" s="9">
        <v>115</v>
      </c>
      <c r="F9" s="9">
        <v>115</v>
      </c>
      <c r="G9" s="12">
        <f t="shared" ref="G9:G20" si="0">AVERAGE(D9:F9)</f>
        <v>110</v>
      </c>
      <c r="H9" s="12">
        <f t="shared" ref="H9:H20" si="1">MIN(D9:F9)</f>
        <v>100</v>
      </c>
      <c r="I9" s="12">
        <f t="shared" ref="I9:I20" si="2">B9*H9</f>
        <v>200</v>
      </c>
    </row>
    <row r="10" spans="1:9" x14ac:dyDescent="0.25">
      <c r="A10" s="7" t="s">
        <v>14</v>
      </c>
      <c r="B10" s="6">
        <v>1</v>
      </c>
      <c r="C10" s="5" t="s">
        <v>27</v>
      </c>
      <c r="D10" s="9">
        <v>54</v>
      </c>
      <c r="E10" s="9">
        <v>60</v>
      </c>
      <c r="F10" s="9">
        <v>65</v>
      </c>
      <c r="G10" s="12">
        <f t="shared" si="0"/>
        <v>59.666666666666664</v>
      </c>
      <c r="H10" s="12">
        <f t="shared" si="1"/>
        <v>54</v>
      </c>
      <c r="I10" s="12">
        <f t="shared" si="2"/>
        <v>54</v>
      </c>
    </row>
    <row r="11" spans="1:9" x14ac:dyDescent="0.25">
      <c r="A11" s="7" t="s">
        <v>18</v>
      </c>
      <c r="B11" s="6">
        <v>10</v>
      </c>
      <c r="C11" s="5" t="s">
        <v>28</v>
      </c>
      <c r="D11" s="9">
        <v>45.9</v>
      </c>
      <c r="E11" s="9">
        <v>52.8</v>
      </c>
      <c r="F11" s="9">
        <v>63.4</v>
      </c>
      <c r="G11" s="12">
        <f t="shared" si="0"/>
        <v>54.033333333333331</v>
      </c>
      <c r="H11" s="12">
        <f t="shared" si="1"/>
        <v>45.9</v>
      </c>
      <c r="I11" s="12">
        <f t="shared" si="2"/>
        <v>459</v>
      </c>
    </row>
    <row r="12" spans="1:9" x14ac:dyDescent="0.25">
      <c r="A12" s="7" t="s">
        <v>15</v>
      </c>
      <c r="B12" s="6">
        <v>50</v>
      </c>
      <c r="C12" s="5" t="s">
        <v>29</v>
      </c>
      <c r="D12" s="9">
        <v>43.4</v>
      </c>
      <c r="E12" s="9">
        <v>62.3</v>
      </c>
      <c r="F12" s="9">
        <v>54.7</v>
      </c>
      <c r="G12" s="12">
        <f t="shared" si="0"/>
        <v>53.466666666666661</v>
      </c>
      <c r="H12" s="12">
        <f t="shared" si="1"/>
        <v>43.4</v>
      </c>
      <c r="I12" s="12">
        <f t="shared" si="2"/>
        <v>2170</v>
      </c>
    </row>
    <row r="13" spans="1:9" x14ac:dyDescent="0.25">
      <c r="A13" s="7" t="s">
        <v>16</v>
      </c>
      <c r="B13" s="6">
        <v>30</v>
      </c>
      <c r="C13" s="5" t="s">
        <v>30</v>
      </c>
      <c r="D13" s="9">
        <v>620.85</v>
      </c>
      <c r="E13" s="9">
        <v>740.25</v>
      </c>
      <c r="F13" s="9">
        <v>710</v>
      </c>
      <c r="G13" s="12">
        <f t="shared" si="0"/>
        <v>690.36666666666667</v>
      </c>
      <c r="H13" s="12">
        <f t="shared" si="1"/>
        <v>620.85</v>
      </c>
      <c r="I13" s="12">
        <f t="shared" si="2"/>
        <v>18625.5</v>
      </c>
    </row>
    <row r="14" spans="1:9" x14ac:dyDescent="0.25">
      <c r="A14" s="7" t="s">
        <v>17</v>
      </c>
      <c r="B14" s="5">
        <v>50</v>
      </c>
      <c r="C14" s="5" t="s">
        <v>31</v>
      </c>
      <c r="D14" s="9">
        <v>4</v>
      </c>
      <c r="E14" s="9">
        <v>3</v>
      </c>
      <c r="F14" s="9">
        <v>2</v>
      </c>
      <c r="G14" s="12">
        <f t="shared" si="0"/>
        <v>3</v>
      </c>
      <c r="H14" s="12">
        <f t="shared" si="1"/>
        <v>2</v>
      </c>
      <c r="I14" s="12">
        <f t="shared" si="2"/>
        <v>100</v>
      </c>
    </row>
    <row r="15" spans="1:9" x14ac:dyDescent="0.25">
      <c r="A15" s="7" t="s">
        <v>19</v>
      </c>
      <c r="B15" s="6">
        <v>25</v>
      </c>
      <c r="C15" s="5" t="s">
        <v>32</v>
      </c>
      <c r="D15" s="9">
        <v>35.299999999999997</v>
      </c>
      <c r="E15" s="9">
        <v>45.3</v>
      </c>
      <c r="F15" s="9">
        <v>28.5</v>
      </c>
      <c r="G15" s="12">
        <f t="shared" si="0"/>
        <v>36.366666666666667</v>
      </c>
      <c r="H15" s="12">
        <f t="shared" si="1"/>
        <v>28.5</v>
      </c>
      <c r="I15" s="12">
        <f t="shared" si="2"/>
        <v>712.5</v>
      </c>
    </row>
    <row r="16" spans="1:9" x14ac:dyDescent="0.25">
      <c r="A16" s="7" t="s">
        <v>20</v>
      </c>
      <c r="B16" s="6">
        <v>4</v>
      </c>
      <c r="C16" s="5" t="s">
        <v>33</v>
      </c>
      <c r="D16" s="11">
        <v>2450.6999999999998</v>
      </c>
      <c r="E16" s="9">
        <v>3580</v>
      </c>
      <c r="F16" s="9">
        <v>2750</v>
      </c>
      <c r="G16" s="12">
        <f t="shared" si="0"/>
        <v>2926.9</v>
      </c>
      <c r="H16" s="12">
        <f t="shared" si="1"/>
        <v>2450.6999999999998</v>
      </c>
      <c r="I16" s="12">
        <f t="shared" si="2"/>
        <v>9802.7999999999993</v>
      </c>
    </row>
    <row r="17" spans="1:9" x14ac:dyDescent="0.25">
      <c r="A17" s="7" t="s">
        <v>21</v>
      </c>
      <c r="B17" s="6">
        <v>1</v>
      </c>
      <c r="C17" s="5" t="s">
        <v>34</v>
      </c>
      <c r="D17" s="9">
        <v>680.5</v>
      </c>
      <c r="E17" s="9">
        <v>840.6</v>
      </c>
      <c r="F17" s="9">
        <v>740.3</v>
      </c>
      <c r="G17" s="12">
        <f t="shared" si="0"/>
        <v>753.79999999999984</v>
      </c>
      <c r="H17" s="12">
        <f t="shared" si="1"/>
        <v>680.5</v>
      </c>
      <c r="I17" s="12">
        <f t="shared" si="2"/>
        <v>680.5</v>
      </c>
    </row>
    <row r="18" spans="1:9" x14ac:dyDescent="0.25">
      <c r="A18" s="7" t="s">
        <v>22</v>
      </c>
      <c r="B18" s="5">
        <v>1</v>
      </c>
      <c r="C18" s="5" t="s">
        <v>35</v>
      </c>
      <c r="D18" s="9">
        <v>320.39999999999998</v>
      </c>
      <c r="E18" s="9">
        <v>299.89999999999998</v>
      </c>
      <c r="F18" s="9">
        <v>350.3</v>
      </c>
      <c r="G18" s="12">
        <f t="shared" si="0"/>
        <v>323.5333333333333</v>
      </c>
      <c r="H18" s="12">
        <f t="shared" si="1"/>
        <v>299.89999999999998</v>
      </c>
      <c r="I18" s="12">
        <f t="shared" si="2"/>
        <v>299.89999999999998</v>
      </c>
    </row>
    <row r="19" spans="1:9" x14ac:dyDescent="0.25">
      <c r="A19" s="7" t="s">
        <v>23</v>
      </c>
      <c r="B19" s="6">
        <v>4</v>
      </c>
      <c r="C19" s="5" t="s">
        <v>36</v>
      </c>
      <c r="D19" s="9">
        <v>65.2</v>
      </c>
      <c r="E19" s="9">
        <v>78.25</v>
      </c>
      <c r="F19" s="9">
        <v>84.5</v>
      </c>
      <c r="G19" s="12">
        <f t="shared" si="0"/>
        <v>75.983333333333334</v>
      </c>
      <c r="H19" s="12">
        <f t="shared" si="1"/>
        <v>65.2</v>
      </c>
      <c r="I19" s="12">
        <f t="shared" si="2"/>
        <v>260.8</v>
      </c>
    </row>
    <row r="20" spans="1:9" x14ac:dyDescent="0.25">
      <c r="A20" s="7" t="s">
        <v>24</v>
      </c>
      <c r="B20" s="5">
        <v>1</v>
      </c>
      <c r="C20" s="5" t="s">
        <v>37</v>
      </c>
      <c r="D20" s="9">
        <v>149.25</v>
      </c>
      <c r="E20" s="9">
        <v>158.19999999999999</v>
      </c>
      <c r="F20" s="9">
        <v>174.2</v>
      </c>
      <c r="G20" s="12">
        <f t="shared" si="0"/>
        <v>160.54999999999998</v>
      </c>
      <c r="H20" s="12">
        <f t="shared" si="1"/>
        <v>149.25</v>
      </c>
      <c r="I20" s="12">
        <f t="shared" si="2"/>
        <v>149.25</v>
      </c>
    </row>
    <row r="22" spans="1:9" x14ac:dyDescent="0.25">
      <c r="H22" s="6" t="s">
        <v>38</v>
      </c>
      <c r="I22" s="12">
        <f>SUM(I8:I20)</f>
        <v>33584.250000000007</v>
      </c>
    </row>
  </sheetData>
  <mergeCells count="3">
    <mergeCell ref="A1:I1"/>
    <mergeCell ref="A2:I3"/>
    <mergeCell ref="A4:I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2026-08-11T15:24:34Z</dcterms:created>
  <dcterms:modified xsi:type="dcterms:W3CDTF">2026-08-11T16:37:10Z</dcterms:modified>
</cp:coreProperties>
</file>